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080445b187f6914/PUCP/Curso Gestión Económica/"/>
    </mc:Choice>
  </mc:AlternateContent>
  <xr:revisionPtr revIDLastSave="0" documentId="8_{63B38763-D1E1-43EB-AEF0-D6E687EE6AF9}" xr6:coauthVersionLast="47" xr6:coauthVersionMax="47" xr10:uidLastSave="{00000000-0000-0000-0000-000000000000}"/>
  <bookViews>
    <workbookView xWindow="-108" yWindow="-108" windowWidth="23256" windowHeight="13896" tabRatio="785" firstSheet="3" activeTab="3" xr2:uid="{00000000-000D-0000-FFFF-FFFF00000000}"/>
  </bookViews>
  <sheets>
    <sheet name="A" sheetId="8" state="hidden" r:id="rId1"/>
    <sheet name="Enero" sheetId="3" state="hidden" r:id="rId2"/>
    <sheet name="Febrero" sheetId="4" state="hidden" r:id="rId3"/>
    <sheet name="Pregunta 1" sheetId="17" r:id="rId4"/>
    <sheet name="Pregunta 2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7" l="1"/>
  <c r="D14" i="17"/>
  <c r="D9" i="17"/>
  <c r="C23" i="17" s="1"/>
  <c r="D23" i="17" s="1"/>
  <c r="D17" i="17"/>
  <c r="E22" i="19"/>
  <c r="E21" i="19"/>
  <c r="E20" i="19"/>
  <c r="E19" i="19"/>
  <c r="E15" i="19"/>
  <c r="E11" i="19"/>
  <c r="D16" i="19"/>
  <c r="C16" i="19"/>
  <c r="E12" i="19"/>
  <c r="D12" i="19"/>
  <c r="E8" i="19"/>
  <c r="F8" i="19"/>
  <c r="H6" i="19"/>
  <c r="D17" i="19" l="1"/>
  <c r="H7" i="19"/>
  <c r="D18" i="19" s="1"/>
  <c r="H5" i="19"/>
  <c r="D7" i="17"/>
  <c r="D18" i="17" s="1"/>
  <c r="D19" i="17" s="1"/>
  <c r="H8" i="19" l="1"/>
  <c r="D20" i="17" l="1"/>
  <c r="I8" i="19"/>
  <c r="D21" i="17" l="1"/>
  <c r="D22" i="17" s="1"/>
  <c r="D24" i="17" s="1"/>
  <c r="E13" i="19"/>
  <c r="E14" i="19"/>
  <c r="F19" i="19" l="1"/>
  <c r="G4" i="4" l="1"/>
  <c r="G4" i="3"/>
  <c r="G5" i="3" l="1"/>
  <c r="L27" i="8" l="1"/>
  <c r="H9" i="8"/>
  <c r="J8" i="8"/>
  <c r="J9" i="8" s="1"/>
  <c r="L26" i="8" s="1"/>
  <c r="I8" i="8"/>
  <c r="I9" i="8" s="1"/>
  <c r="K8" i="8" l="1"/>
  <c r="K9" i="8" s="1"/>
  <c r="H32" i="8" s="1"/>
  <c r="H35" i="8" s="1"/>
  <c r="L25" i="8" l="1"/>
  <c r="L29" i="8" s="1"/>
  <c r="E27" i="8" s="1"/>
  <c r="F16" i="3" l="1"/>
  <c r="D17" i="3" l="1"/>
  <c r="G16" i="3"/>
  <c r="L31" i="8"/>
  <c r="E26" i="8" s="1"/>
  <c r="J26" i="8" s="1"/>
  <c r="H34" i="8" s="1"/>
  <c r="C20" i="4"/>
  <c r="F19" i="4"/>
  <c r="D20" i="4" s="1"/>
  <c r="C19" i="4"/>
  <c r="F18" i="4"/>
  <c r="D19" i="4" s="1"/>
  <c r="C18" i="4"/>
  <c r="F17" i="4"/>
  <c r="C17" i="4"/>
  <c r="F16" i="4"/>
  <c r="J12" i="4"/>
  <c r="J10" i="4"/>
  <c r="J9" i="4"/>
  <c r="J8" i="4"/>
  <c r="G7" i="4"/>
  <c r="J7" i="4" s="1"/>
  <c r="C20" i="3"/>
  <c r="F19" i="3"/>
  <c r="D20" i="3" s="1"/>
  <c r="C19" i="3"/>
  <c r="F18" i="3"/>
  <c r="D19" i="3" s="1"/>
  <c r="C18" i="3"/>
  <c r="F17" i="3"/>
  <c r="C17" i="3"/>
  <c r="J12" i="3"/>
  <c r="J10" i="3"/>
  <c r="J9" i="3"/>
  <c r="J8" i="3"/>
  <c r="J4" i="3"/>
  <c r="G7" i="3"/>
  <c r="J7" i="3" s="1"/>
  <c r="D18" i="3" l="1"/>
  <c r="G17" i="3"/>
  <c r="D17" i="4"/>
  <c r="G16" i="4"/>
  <c r="J16" i="4" s="1"/>
  <c r="D18" i="4"/>
  <c r="G17" i="4"/>
  <c r="J17" i="4" s="1"/>
  <c r="G6" i="4"/>
  <c r="J6" i="4" s="1"/>
  <c r="J4" i="4"/>
  <c r="G5" i="4"/>
  <c r="J5" i="4" s="1"/>
  <c r="G6" i="3"/>
  <c r="J6" i="3" s="1"/>
  <c r="J16" i="3"/>
  <c r="J5" i="3"/>
  <c r="J11" i="4" l="1"/>
  <c r="J13" i="4" s="1"/>
  <c r="G18" i="4" s="1"/>
  <c r="J18" i="4" s="1"/>
  <c r="J11" i="3"/>
  <c r="J13" i="3" s="1"/>
  <c r="J17" i="3" l="1"/>
  <c r="G18" i="3"/>
  <c r="J18" i="3" s="1"/>
  <c r="G21" i="4"/>
  <c r="G21" i="3" l="1"/>
  <c r="J21" i="3"/>
  <c r="J21" i="4"/>
  <c r="J23" i="4"/>
  <c r="J25" i="4" s="1"/>
  <c r="J27" i="4" s="1"/>
  <c r="J23" i="3"/>
  <c r="J25" i="3" s="1"/>
  <c r="J27" i="3" s="1"/>
</calcChain>
</file>

<file path=xl/sharedStrings.xml><?xml version="1.0" encoding="utf-8"?>
<sst xmlns="http://schemas.openxmlformats.org/spreadsheetml/2006/main" count="150" uniqueCount="99">
  <si>
    <t xml:space="preserve">Cálculo de Retención de Quinta Categoría </t>
  </si>
  <si>
    <t>Conceptos</t>
  </si>
  <si>
    <t>Enero</t>
  </si>
  <si>
    <t>Percibido en el mes</t>
  </si>
  <si>
    <t>x</t>
  </si>
  <si>
    <t>Rem. De Meses que falta por percibir</t>
  </si>
  <si>
    <t>Gratificaciones ordinarias por recibir</t>
  </si>
  <si>
    <t>Rem. De Meses anteriores percibidas</t>
  </si>
  <si>
    <t>Gratificaciones ordinarias percibidas</t>
  </si>
  <si>
    <t>Utilidades Percibidas</t>
  </si>
  <si>
    <t>Otras extraordinarias percibidas</t>
  </si>
  <si>
    <t>R.B</t>
  </si>
  <si>
    <t xml:space="preserve">Deducción </t>
  </si>
  <si>
    <t>R.N.</t>
  </si>
  <si>
    <t>Exceso</t>
  </si>
  <si>
    <t>Hasta</t>
  </si>
  <si>
    <t>Tramo</t>
  </si>
  <si>
    <t>Tasa</t>
  </si>
  <si>
    <t>Impuesto</t>
  </si>
  <si>
    <t>(5 UIT)</t>
  </si>
  <si>
    <t>(20 UIT)</t>
  </si>
  <si>
    <t>(35 UIT)</t>
  </si>
  <si>
    <t>(45 UIT)</t>
  </si>
  <si>
    <t>a Más</t>
  </si>
  <si>
    <t>I.R Anual Proyectado</t>
  </si>
  <si>
    <t>DESDE ABRIL</t>
  </si>
  <si>
    <t>Menos Retenciones anteriores</t>
  </si>
  <si>
    <t>I.R. para el cálculo a retener</t>
  </si>
  <si>
    <t>Factor</t>
  </si>
  <si>
    <t>Retención 1 del mes</t>
  </si>
  <si>
    <t>Renta Neta</t>
  </si>
  <si>
    <t>RNT</t>
  </si>
  <si>
    <t>RFE</t>
  </si>
  <si>
    <t xml:space="preserve"> RENTA DE FUENTE EXTRANJERA </t>
  </si>
  <si>
    <t>Cabe recordar que la Renta de Fuente Extranjera se adiciona a la Renta de Trabajo.</t>
  </si>
  <si>
    <t>RENTA DE FUENTE EXTRANJERA-CONCEPTO</t>
  </si>
  <si>
    <t>Tipo de Cambio</t>
  </si>
  <si>
    <t>Importe Cancelado</t>
  </si>
  <si>
    <t>Retención</t>
  </si>
  <si>
    <t>24.xx.2019: Percepción por  evento realizado en Argentina</t>
  </si>
  <si>
    <t>RENTA NETA   DE FUENTE EXTRANJERA</t>
  </si>
  <si>
    <t>Tasa Media aplicable al Impuesto a la Renta abonado en el extranjero</t>
  </si>
  <si>
    <t>Tasa Media (1) =</t>
  </si>
  <si>
    <t>Impuesto Calculado</t>
  </si>
  <si>
    <t>RNT +RNFE+ 7 UIT+ HASTA 3 UIT</t>
  </si>
  <si>
    <t>Donde:</t>
  </si>
  <si>
    <t>RNT = Renta Neta del Trabajo (renta neta de cuarta y quinta categoría (casilla 512)</t>
  </si>
  <si>
    <t>RNFE = Renta Neta de Fuente Extranjera (casilla 116)</t>
  </si>
  <si>
    <t>7 UIT = S/ 29,400 (casilla 511)</t>
  </si>
  <si>
    <t>Hasta 3 UIT = Hasta S/ 12,600 (Casilla 514)</t>
  </si>
  <si>
    <t>=</t>
  </si>
  <si>
    <t>7 UIT</t>
  </si>
  <si>
    <t>HASTA 3UIT</t>
  </si>
  <si>
    <t>CONCEPTO</t>
  </si>
  <si>
    <t>MONTO</t>
  </si>
  <si>
    <t xml:space="preserve">a. Monto del impuesto efectivamente pagado en el exterior </t>
  </si>
  <si>
    <t xml:space="preserve">b. Límite máximo                        </t>
  </si>
  <si>
    <t>Renta de Fuente Extranjera x Tasa Media  ( S/ 14,850 x 17.32%)</t>
  </si>
  <si>
    <t xml:space="preserve"> Crédito deducido, monto menor entre a y b</t>
  </si>
  <si>
    <t>Febrero</t>
  </si>
  <si>
    <t>Tramo 3</t>
  </si>
  <si>
    <t>Pagos a Cuenta</t>
  </si>
  <si>
    <t>IR 1ra Categoría</t>
  </si>
  <si>
    <t>Deducción</t>
  </si>
  <si>
    <t>Renta Bruta</t>
  </si>
  <si>
    <t>Mejora No reembolsable</t>
  </si>
  <si>
    <t>Renta Real</t>
  </si>
  <si>
    <t>Importes</t>
  </si>
  <si>
    <t>Cálculo del Impuesto a la Renta</t>
  </si>
  <si>
    <t>Comparación</t>
  </si>
  <si>
    <t>Datos</t>
  </si>
  <si>
    <t>Pregunta 1</t>
  </si>
  <si>
    <t>Pregunta 2</t>
  </si>
  <si>
    <t>I.R. 2ra Cat.</t>
  </si>
  <si>
    <t>Renta Bruta Total</t>
  </si>
  <si>
    <t>Renta</t>
  </si>
  <si>
    <t>Cálculo</t>
  </si>
  <si>
    <t>Costo Computable</t>
  </si>
  <si>
    <t>ICM</t>
  </si>
  <si>
    <t>Venta</t>
  </si>
  <si>
    <t>Adquisición</t>
  </si>
  <si>
    <t>Habitación valuada</t>
  </si>
  <si>
    <t>Reembolso</t>
  </si>
  <si>
    <t>alquiler (mayo a dic)</t>
  </si>
  <si>
    <t>renta real anual</t>
  </si>
  <si>
    <t>autovaluo</t>
  </si>
  <si>
    <t>renta ficta</t>
  </si>
  <si>
    <t>pagos a cuenta mensual</t>
  </si>
  <si>
    <t xml:space="preserve">Departamento </t>
  </si>
  <si>
    <t xml:space="preserve">Casa de playa </t>
  </si>
  <si>
    <t>Casa de campo</t>
  </si>
  <si>
    <t>ingreso neto</t>
  </si>
  <si>
    <t>casa de playa</t>
  </si>
  <si>
    <t>casa de campo</t>
  </si>
  <si>
    <t>Costo computable</t>
  </si>
  <si>
    <t>mayor</t>
  </si>
  <si>
    <t xml:space="preserve">departamento </t>
  </si>
  <si>
    <r>
      <t xml:space="preserve">En renta de primera categoría, se permite deducir el </t>
    </r>
    <r>
      <rPr>
        <b/>
        <sz val="11"/>
        <color theme="1"/>
        <rFont val="Calibri"/>
        <family val="2"/>
        <scheme val="minor"/>
      </rPr>
      <t>20% de la renta bruta</t>
    </r>
    <r>
      <rPr>
        <sz val="11"/>
        <color theme="1"/>
        <rFont val="Calibri"/>
        <family val="2"/>
        <scheme val="minor"/>
      </rPr>
      <t>.</t>
    </r>
  </si>
  <si>
    <r>
      <t xml:space="preserve">En renta de primera categoría, el impuesto anual equivale al </t>
    </r>
    <r>
      <rPr>
        <b/>
        <sz val="11"/>
        <color theme="1"/>
        <rFont val="Calibri"/>
        <family val="2"/>
        <scheme val="minor"/>
      </rPr>
      <t>6.25% de la renta neta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</si>
</sst>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 * #,##0.00_ ;_ * \-#,##0.00_ ;_ * &quot;-&quot;??_ ;_ @_ "/>
    <numFmt numFmtId="165" formatCode="&quot;$&quot;#,##0.00;&quot;$&quot;\-#,##0.00"/>
    <numFmt numFmtId="166" formatCode="#,##0_ ;[Red]\-#,##0\ "/>
    <numFmt numFmtId="167" formatCode="_ * #,##0_ ;_ * \-#,##0_ ;_ * &quot;-&quot;??_ ;_ @_ "/>
    <numFmt numFmtId="168" formatCode="0.000"/>
    <numFmt numFmtId="169" formatCode="[$S/-280A]#,##0"/>
    <numFmt numFmtId="170" formatCode="#,##0.00_ ;[Red]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8">
    <xf numFmtId="0" fontId="0" fillId="0" borderId="0" xfId="0"/>
    <xf numFmtId="164" fontId="0" fillId="0" borderId="0" xfId="1" applyFont="1"/>
    <xf numFmtId="166" fontId="3" fillId="0" borderId="1" xfId="0" applyNumberFormat="1" applyFont="1" applyBorder="1"/>
    <xf numFmtId="0" fontId="3" fillId="0" borderId="0" xfId="0" applyFont="1"/>
    <xf numFmtId="164" fontId="0" fillId="0" borderId="0" xfId="0" applyNumberFormat="1"/>
    <xf numFmtId="0" fontId="5" fillId="0" borderId="0" xfId="0" applyFont="1"/>
    <xf numFmtId="164" fontId="1" fillId="0" borderId="0" xfId="1" applyFont="1"/>
    <xf numFmtId="164" fontId="3" fillId="0" borderId="2" xfId="1" applyFont="1" applyBorder="1"/>
    <xf numFmtId="0" fontId="0" fillId="0" borderId="2" xfId="0" applyBorder="1"/>
    <xf numFmtId="0" fontId="3" fillId="0" borderId="2" xfId="0" applyFont="1" applyBorder="1"/>
    <xf numFmtId="164" fontId="3" fillId="3" borderId="2" xfId="1" applyFont="1" applyFill="1" applyBorder="1" applyAlignment="1">
      <alignment horizontal="center"/>
    </xf>
    <xf numFmtId="164" fontId="1" fillId="5" borderId="0" xfId="1" applyFont="1" applyFill="1" applyBorder="1"/>
    <xf numFmtId="164" fontId="3" fillId="5" borderId="0" xfId="1" applyFont="1" applyFill="1" applyBorder="1"/>
    <xf numFmtId="0" fontId="0" fillId="5" borderId="0" xfId="0" applyFill="1"/>
    <xf numFmtId="164" fontId="1" fillId="5" borderId="0" xfId="1" applyFont="1" applyFill="1"/>
    <xf numFmtId="164" fontId="1" fillId="5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164" fontId="1" fillId="6" borderId="0" xfId="1" applyFont="1" applyFill="1"/>
    <xf numFmtId="164" fontId="3" fillId="6" borderId="0" xfId="1" applyFont="1" applyFill="1" applyBorder="1"/>
    <xf numFmtId="0" fontId="0" fillId="6" borderId="0" xfId="0" applyFill="1"/>
    <xf numFmtId="164" fontId="1" fillId="6" borderId="0" xfId="1" applyFont="1" applyFill="1" applyAlignment="1">
      <alignment horizontal="center"/>
    </xf>
    <xf numFmtId="0" fontId="0" fillId="6" borderId="0" xfId="0" applyFill="1" applyAlignment="1">
      <alignment horizontal="center"/>
    </xf>
    <xf numFmtId="164" fontId="1" fillId="7" borderId="0" xfId="1" applyFont="1" applyFill="1"/>
    <xf numFmtId="0" fontId="0" fillId="7" borderId="0" xfId="0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164" fontId="1" fillId="7" borderId="0" xfId="1" applyFont="1" applyFill="1" applyAlignment="1">
      <alignment horizontal="center"/>
    </xf>
    <xf numFmtId="164" fontId="3" fillId="0" borderId="2" xfId="1" applyFont="1" applyFill="1" applyBorder="1"/>
    <xf numFmtId="164" fontId="2" fillId="0" borderId="0" xfId="1" applyFont="1"/>
    <xf numFmtId="167" fontId="1" fillId="0" borderId="0" xfId="1" applyNumberFormat="1" applyFont="1"/>
    <xf numFmtId="164" fontId="3" fillId="2" borderId="2" xfId="1" applyFont="1" applyFill="1" applyBorder="1"/>
    <xf numFmtId="0" fontId="3" fillId="2" borderId="2" xfId="0" applyFont="1" applyFill="1" applyBorder="1"/>
    <xf numFmtId="164" fontId="1" fillId="0" borderId="0" xfId="1" applyFont="1" applyFill="1"/>
    <xf numFmtId="164" fontId="3" fillId="0" borderId="2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4" xfId="0" applyBorder="1"/>
    <xf numFmtId="164" fontId="7" fillId="0" borderId="4" xfId="1" applyFont="1" applyBorder="1"/>
    <xf numFmtId="9" fontId="1" fillId="0" borderId="0" xfId="2" applyFont="1"/>
    <xf numFmtId="164" fontId="7" fillId="0" borderId="4" xfId="0" applyNumberFormat="1" applyFont="1" applyBorder="1" applyAlignment="1">
      <alignment horizontal="center"/>
    </xf>
    <xf numFmtId="164" fontId="7" fillId="0" borderId="4" xfId="0" applyNumberFormat="1" applyFont="1" applyBorder="1"/>
    <xf numFmtId="164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/>
    <xf numFmtId="164" fontId="7" fillId="0" borderId="5" xfId="1" applyFont="1" applyBorder="1"/>
    <xf numFmtId="0" fontId="7" fillId="0" borderId="5" xfId="0" applyFont="1" applyBorder="1" applyAlignment="1">
      <alignment horizontal="center"/>
    </xf>
    <xf numFmtId="0" fontId="0" fillId="0" borderId="6" xfId="0" applyBorder="1"/>
    <xf numFmtId="9" fontId="1" fillId="0" borderId="7" xfId="2" applyFont="1" applyBorder="1"/>
    <xf numFmtId="0" fontId="0" fillId="0" borderId="7" xfId="0" applyBorder="1"/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164" fontId="7" fillId="0" borderId="0" xfId="1" applyFont="1" applyBorder="1"/>
    <xf numFmtId="0" fontId="7" fillId="0" borderId="0" xfId="0" applyFont="1" applyAlignment="1">
      <alignment horizontal="center"/>
    </xf>
    <xf numFmtId="164" fontId="3" fillId="2" borderId="2" xfId="0" applyNumberFormat="1" applyFont="1" applyFill="1" applyBorder="1"/>
    <xf numFmtId="9" fontId="1" fillId="0" borderId="2" xfId="2" applyFont="1" applyBorder="1"/>
    <xf numFmtId="164" fontId="3" fillId="3" borderId="2" xfId="0" applyNumberFormat="1" applyFont="1" applyFill="1" applyBorder="1"/>
    <xf numFmtId="164" fontId="3" fillId="3" borderId="2" xfId="1" applyFont="1" applyFill="1" applyBorder="1"/>
    <xf numFmtId="0" fontId="3" fillId="3" borderId="2" xfId="0" applyFont="1" applyFill="1" applyBorder="1"/>
    <xf numFmtId="0" fontId="8" fillId="0" borderId="0" xfId="0" applyFont="1"/>
    <xf numFmtId="0" fontId="9" fillId="0" borderId="0" xfId="0" applyFont="1"/>
    <xf numFmtId="0" fontId="2" fillId="0" borderId="0" xfId="0" applyFont="1"/>
    <xf numFmtId="166" fontId="0" fillId="0" borderId="8" xfId="0" applyNumberFormat="1" applyBorder="1"/>
    <xf numFmtId="0" fontId="10" fillId="9" borderId="0" xfId="0" applyFont="1" applyFill="1"/>
    <xf numFmtId="0" fontId="11" fillId="9" borderId="0" xfId="0" applyFont="1" applyFill="1"/>
    <xf numFmtId="0" fontId="11" fillId="0" borderId="0" xfId="0" applyFont="1"/>
    <xf numFmtId="0" fontId="10" fillId="10" borderId="11" xfId="0" applyFont="1" applyFill="1" applyBorder="1" applyAlignment="1">
      <alignment horizontal="center" vertical="center" wrapText="1"/>
    </xf>
    <xf numFmtId="168" fontId="11" fillId="0" borderId="11" xfId="0" applyNumberFormat="1" applyFont="1" applyBorder="1"/>
    <xf numFmtId="165" fontId="11" fillId="0" borderId="11" xfId="1" applyNumberFormat="1" applyFont="1" applyBorder="1"/>
    <xf numFmtId="169" fontId="11" fillId="0" borderId="11" xfId="1" applyNumberFormat="1" applyFont="1" applyBorder="1"/>
    <xf numFmtId="165" fontId="10" fillId="0" borderId="11" xfId="0" applyNumberFormat="1" applyFont="1" applyBorder="1"/>
    <xf numFmtId="169" fontId="10" fillId="11" borderId="11" xfId="1" applyNumberFormat="1" applyFont="1" applyFill="1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3" fillId="0" borderId="0" xfId="0" applyFont="1" applyAlignment="1">
      <alignment horizontal="center"/>
    </xf>
    <xf numFmtId="0" fontId="3" fillId="0" borderId="1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/>
    </xf>
    <xf numFmtId="10" fontId="3" fillId="0" borderId="16" xfId="2" applyNumberFormat="1" applyFont="1" applyBorder="1"/>
    <xf numFmtId="169" fontId="0" fillId="0" borderId="0" xfId="1" applyNumberFormat="1" applyFont="1"/>
    <xf numFmtId="0" fontId="3" fillId="10" borderId="20" xfId="0" applyFont="1" applyFill="1" applyBorder="1"/>
    <xf numFmtId="167" fontId="3" fillId="0" borderId="0" xfId="1" applyNumberFormat="1" applyFont="1"/>
    <xf numFmtId="169" fontId="0" fillId="0" borderId="20" xfId="1" applyNumberFormat="1" applyFont="1" applyBorder="1"/>
    <xf numFmtId="164" fontId="0" fillId="0" borderId="20" xfId="1" applyFont="1" applyBorder="1"/>
    <xf numFmtId="167" fontId="0" fillId="0" borderId="20" xfId="1" applyNumberFormat="1" applyFont="1" applyBorder="1"/>
    <xf numFmtId="167" fontId="0" fillId="8" borderId="20" xfId="1" applyNumberFormat="1" applyFont="1" applyFill="1" applyBorder="1"/>
    <xf numFmtId="164" fontId="12" fillId="13" borderId="2" xfId="1" applyFont="1" applyFill="1" applyBorder="1"/>
    <xf numFmtId="0" fontId="12" fillId="13" borderId="2" xfId="0" applyFont="1" applyFill="1" applyBorder="1"/>
    <xf numFmtId="164" fontId="13" fillId="0" borderId="4" xfId="0" applyNumberFormat="1" applyFont="1" applyBorder="1" applyAlignment="1">
      <alignment horizontal="center"/>
    </xf>
    <xf numFmtId="164" fontId="13" fillId="0" borderId="4" xfId="1" applyFont="1" applyBorder="1"/>
    <xf numFmtId="164" fontId="13" fillId="0" borderId="0" xfId="0" applyNumberFormat="1" applyFont="1"/>
    <xf numFmtId="164" fontId="13" fillId="0" borderId="0" xfId="1" applyFont="1"/>
    <xf numFmtId="164" fontId="4" fillId="0" borderId="0" xfId="0" applyNumberFormat="1" applyFont="1"/>
    <xf numFmtId="9" fontId="4" fillId="0" borderId="0" xfId="2" applyFont="1"/>
    <xf numFmtId="0" fontId="4" fillId="0" borderId="0" xfId="0" applyFont="1"/>
    <xf numFmtId="164" fontId="4" fillId="0" borderId="0" xfId="1" applyFont="1"/>
    <xf numFmtId="166" fontId="3" fillId="0" borderId="0" xfId="0" applyNumberFormat="1" applyFont="1"/>
    <xf numFmtId="170" fontId="11" fillId="0" borderId="0" xfId="0" applyNumberFormat="1" applyFont="1"/>
    <xf numFmtId="170" fontId="10" fillId="4" borderId="2" xfId="0" applyNumberFormat="1" applyFont="1" applyFill="1" applyBorder="1"/>
    <xf numFmtId="0" fontId="10" fillId="4" borderId="2" xfId="0" applyFont="1" applyFill="1" applyBorder="1"/>
    <xf numFmtId="10" fontId="11" fillId="0" borderId="0" xfId="0" applyNumberFormat="1" applyFont="1"/>
    <xf numFmtId="164" fontId="11" fillId="0" borderId="0" xfId="1" applyFont="1"/>
    <xf numFmtId="170" fontId="11" fillId="0" borderId="1" xfId="0" applyNumberFormat="1" applyFont="1" applyBorder="1"/>
    <xf numFmtId="0" fontId="11" fillId="0" borderId="1" xfId="0" applyFont="1" applyBorder="1"/>
    <xf numFmtId="9" fontId="14" fillId="0" borderId="0" xfId="0" applyNumberFormat="1" applyFont="1"/>
    <xf numFmtId="0" fontId="10" fillId="12" borderId="0" xfId="0" applyFont="1" applyFill="1"/>
    <xf numFmtId="166" fontId="3" fillId="0" borderId="2" xfId="1" applyNumberFormat="1" applyFont="1" applyBorder="1"/>
    <xf numFmtId="10" fontId="3" fillId="0" borderId="2" xfId="0" applyNumberFormat="1" applyFont="1" applyBorder="1"/>
    <xf numFmtId="166" fontId="3" fillId="0" borderId="8" xfId="0" applyNumberFormat="1" applyFont="1" applyBorder="1"/>
    <xf numFmtId="0" fontId="3" fillId="0" borderId="8" xfId="0" applyFont="1" applyBorder="1"/>
    <xf numFmtId="166" fontId="1" fillId="0" borderId="0" xfId="1" applyNumberFormat="1" applyFont="1"/>
    <xf numFmtId="9" fontId="2" fillId="0" borderId="0" xfId="0" applyNumberFormat="1" applyFont="1"/>
    <xf numFmtId="0" fontId="3" fillId="0" borderId="1" xfId="0" applyFont="1" applyBorder="1"/>
    <xf numFmtId="166" fontId="3" fillId="0" borderId="0" xfId="1" applyNumberFormat="1" applyFont="1"/>
    <xf numFmtId="0" fontId="3" fillId="4" borderId="2" xfId="0" applyFont="1" applyFill="1" applyBorder="1" applyAlignment="1">
      <alignment horizontal="center"/>
    </xf>
    <xf numFmtId="0" fontId="0" fillId="4" borderId="2" xfId="0" applyFill="1" applyBorder="1"/>
    <xf numFmtId="0" fontId="3" fillId="4" borderId="2" xfId="0" applyFont="1" applyFill="1" applyBorder="1"/>
    <xf numFmtId="164" fontId="0" fillId="3" borderId="0" xfId="0" applyNumberFormat="1" applyFill="1"/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17" fillId="0" borderId="0" xfId="0" applyFont="1" applyAlignment="1">
      <alignment horizontal="left" vertical="center"/>
    </xf>
    <xf numFmtId="0" fontId="17" fillId="0" borderId="0" xfId="0" applyFont="1"/>
    <xf numFmtId="164" fontId="6" fillId="3" borderId="2" xfId="0" applyNumberFormat="1" applyFont="1" applyFill="1" applyBorder="1"/>
    <xf numFmtId="164" fontId="4" fillId="7" borderId="0" xfId="1" applyFont="1" applyFill="1"/>
    <xf numFmtId="164" fontId="6" fillId="7" borderId="2" xfId="0" applyNumberFormat="1" applyFont="1" applyFill="1" applyBorder="1"/>
    <xf numFmtId="0" fontId="3" fillId="2" borderId="2" xfId="0" applyFont="1" applyFill="1" applyBorder="1" applyAlignment="1">
      <alignment horizontal="center"/>
    </xf>
    <xf numFmtId="0" fontId="11" fillId="14" borderId="11" xfId="0" applyFont="1" applyFill="1" applyBorder="1"/>
    <xf numFmtId="164" fontId="11" fillId="14" borderId="11" xfId="1" applyFont="1" applyFill="1" applyBorder="1"/>
    <xf numFmtId="0" fontId="14" fillId="14" borderId="11" xfId="0" applyFont="1" applyFill="1" applyBorder="1"/>
    <xf numFmtId="9" fontId="14" fillId="14" borderId="11" xfId="0" applyNumberFormat="1" applyFont="1" applyFill="1" applyBorder="1"/>
    <xf numFmtId="164" fontId="14" fillId="14" borderId="11" xfId="1" applyFont="1" applyFill="1" applyBorder="1"/>
    <xf numFmtId="0" fontId="11" fillId="0" borderId="11" xfId="0" applyFont="1" applyBorder="1"/>
    <xf numFmtId="0" fontId="10" fillId="2" borderId="8" xfId="0" applyFont="1" applyFill="1" applyBorder="1"/>
    <xf numFmtId="43" fontId="11" fillId="0" borderId="0" xfId="0" applyNumberFormat="1" applyFont="1" applyAlignment="1">
      <alignment horizontal="right"/>
    </xf>
    <xf numFmtId="4" fontId="0" fillId="0" borderId="0" xfId="0" applyNumberFormat="1"/>
    <xf numFmtId="0" fontId="16" fillId="0" borderId="0" xfId="0" applyFont="1" applyFill="1"/>
    <xf numFmtId="0" fontId="11" fillId="0" borderId="11" xfId="0" applyFont="1" applyFill="1" applyBorder="1"/>
    <xf numFmtId="164" fontId="11" fillId="0" borderId="11" xfId="1" applyFont="1" applyFill="1" applyBorder="1"/>
    <xf numFmtId="0" fontId="11" fillId="0" borderId="0" xfId="0" applyFont="1" applyFill="1"/>
    <xf numFmtId="0" fontId="11" fillId="14" borderId="0" xfId="0" applyFont="1" applyFill="1" applyBorder="1"/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8" borderId="20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wrapText="1"/>
    </xf>
    <xf numFmtId="0" fontId="10" fillId="11" borderId="9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6" fillId="0" borderId="3" xfId="1" applyFont="1" applyBorder="1" applyAlignment="1">
      <alignment horizontal="center"/>
    </xf>
    <xf numFmtId="9" fontId="6" fillId="0" borderId="3" xfId="2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736600</xdr:colOff>
      <xdr:row>3</xdr:row>
      <xdr:rowOff>101600</xdr:rowOff>
    </xdr:from>
    <xdr:to>
      <xdr:col>11</xdr:col>
      <xdr:colOff>460194</xdr:colOff>
      <xdr:row>12</xdr:row>
      <xdr:rowOff>86487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9A1298-F004-4B12-607E-0F7D75308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1050" y="596900"/>
          <a:ext cx="5235394" cy="14707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224876</xdr:colOff>
      <xdr:row>5</xdr:row>
      <xdr:rowOff>103791</xdr:rowOff>
    </xdr:from>
    <xdr:to>
      <xdr:col>15</xdr:col>
      <xdr:colOff>500124</xdr:colOff>
      <xdr:row>18</xdr:row>
      <xdr:rowOff>152399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895528-A3E0-E8CB-CB5C-5614F3F8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8094" y="1052827"/>
          <a:ext cx="6211921" cy="2445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35"/>
  <sheetViews>
    <sheetView zoomScaleNormal="100" workbookViewId="0">
      <selection activeCell="J37" sqref="J37"/>
    </sheetView>
  </sheetViews>
  <sheetFormatPr baseColWidth="10" defaultColWidth="11.44140625" defaultRowHeight="15.6" x14ac:dyDescent="0.3"/>
  <cols>
    <col min="1" max="1" width="4.44140625" style="62" customWidth="1"/>
    <col min="2" max="4" width="11.44140625" style="62"/>
    <col min="5" max="5" width="11.88671875" style="62" bestFit="1" customWidth="1"/>
    <col min="6" max="6" width="18.109375" style="62" customWidth="1"/>
    <col min="7" max="7" width="11" style="62" customWidth="1"/>
    <col min="8" max="8" width="11.88671875" style="62" customWidth="1"/>
    <col min="9" max="16384" width="11.44140625" style="62"/>
  </cols>
  <sheetData>
    <row r="3" spans="2:11" x14ac:dyDescent="0.3">
      <c r="B3" s="60" t="s">
        <v>33</v>
      </c>
      <c r="C3" s="61"/>
      <c r="D3" s="61"/>
      <c r="E3" s="61"/>
      <c r="F3" s="61"/>
      <c r="G3" s="61"/>
      <c r="H3" s="61"/>
    </row>
    <row r="5" spans="2:11" x14ac:dyDescent="0.3">
      <c r="B5" s="62" t="s">
        <v>34</v>
      </c>
    </row>
    <row r="7" spans="2:11" ht="36" customHeight="1" x14ac:dyDescent="0.3">
      <c r="B7" s="157" t="s">
        <v>35</v>
      </c>
      <c r="C7" s="158"/>
      <c r="D7" s="158"/>
      <c r="E7" s="158"/>
      <c r="F7" s="159"/>
      <c r="G7" s="63" t="s">
        <v>36</v>
      </c>
      <c r="H7" s="63" t="s">
        <v>37</v>
      </c>
      <c r="I7" s="63" t="s">
        <v>38</v>
      </c>
      <c r="J7" s="63" t="s">
        <v>37</v>
      </c>
      <c r="K7" s="63" t="s">
        <v>38</v>
      </c>
    </row>
    <row r="8" spans="2:11" x14ac:dyDescent="0.3">
      <c r="B8" s="160" t="s">
        <v>39</v>
      </c>
      <c r="C8" s="160"/>
      <c r="D8" s="160"/>
      <c r="E8" s="160"/>
      <c r="F8" s="160"/>
      <c r="G8" s="64">
        <v>3.3</v>
      </c>
      <c r="H8" s="65">
        <v>1600</v>
      </c>
      <c r="I8" s="65">
        <f>+H8*0.15</f>
        <v>240</v>
      </c>
      <c r="J8" s="66">
        <f>+H8*G8</f>
        <v>5280</v>
      </c>
      <c r="K8" s="66">
        <f>+I8*G8</f>
        <v>792</v>
      </c>
    </row>
    <row r="9" spans="2:11" x14ac:dyDescent="0.3">
      <c r="B9" s="161" t="s">
        <v>40</v>
      </c>
      <c r="C9" s="162"/>
      <c r="D9" s="162"/>
      <c r="E9" s="162"/>
      <c r="F9" s="162"/>
      <c r="G9" s="163"/>
      <c r="H9" s="67">
        <f>SUM(H8:H8)</f>
        <v>1600</v>
      </c>
      <c r="I9" s="67">
        <f>SUM(I8:I8)</f>
        <v>240</v>
      </c>
      <c r="J9" s="68">
        <f>SUM(J8:J8)</f>
        <v>5280</v>
      </c>
      <c r="K9" s="68">
        <f>SUM(K8:K8)</f>
        <v>792</v>
      </c>
    </row>
    <row r="11" spans="2:11" ht="16.2" thickBot="1" x14ac:dyDescent="0.35"/>
    <row r="12" spans="2:11" x14ac:dyDescent="0.3">
      <c r="C12" s="69"/>
      <c r="D12" s="164" t="s">
        <v>41</v>
      </c>
      <c r="E12" s="164"/>
      <c r="F12" s="164"/>
      <c r="G12" s="164"/>
      <c r="H12" s="164"/>
      <c r="I12" s="165"/>
    </row>
    <row r="13" spans="2:11" x14ac:dyDescent="0.3">
      <c r="C13" s="70"/>
      <c r="D13"/>
      <c r="E13"/>
      <c r="F13"/>
      <c r="G13"/>
      <c r="H13"/>
      <c r="I13" s="71"/>
    </row>
    <row r="14" spans="2:11" x14ac:dyDescent="0.3">
      <c r="C14" s="150" t="s">
        <v>42</v>
      </c>
      <c r="D14" s="151"/>
      <c r="E14" s="153" t="s">
        <v>43</v>
      </c>
      <c r="F14" s="153"/>
      <c r="G14" s="72" t="s">
        <v>4</v>
      </c>
      <c r="H14" s="3">
        <v>100</v>
      </c>
      <c r="I14" s="71"/>
    </row>
    <row r="15" spans="2:11" x14ac:dyDescent="0.3">
      <c r="C15" s="73"/>
      <c r="D15" s="3"/>
      <c r="E15" s="149" t="s">
        <v>44</v>
      </c>
      <c r="F15" s="149"/>
      <c r="G15" s="3"/>
      <c r="H15" s="3"/>
      <c r="I15" s="71"/>
    </row>
    <row r="16" spans="2:11" x14ac:dyDescent="0.3">
      <c r="C16" s="70"/>
      <c r="D16"/>
      <c r="E16"/>
      <c r="F16"/>
      <c r="G16"/>
      <c r="H16"/>
      <c r="I16" s="71"/>
    </row>
    <row r="17" spans="3:14" x14ac:dyDescent="0.3">
      <c r="C17" s="70"/>
      <c r="D17"/>
      <c r="E17"/>
      <c r="F17"/>
      <c r="G17"/>
      <c r="H17"/>
      <c r="I17" s="71"/>
    </row>
    <row r="18" spans="3:14" x14ac:dyDescent="0.3">
      <c r="C18" s="70" t="s">
        <v>45</v>
      </c>
      <c r="D18"/>
      <c r="E18"/>
      <c r="F18"/>
      <c r="G18"/>
      <c r="H18"/>
      <c r="I18" s="71"/>
    </row>
    <row r="19" spans="3:14" x14ac:dyDescent="0.3">
      <c r="C19" s="70" t="s">
        <v>46</v>
      </c>
      <c r="D19"/>
      <c r="E19"/>
      <c r="F19"/>
      <c r="G19"/>
      <c r="H19"/>
      <c r="I19" s="71"/>
    </row>
    <row r="20" spans="3:14" x14ac:dyDescent="0.3">
      <c r="C20" s="70" t="s">
        <v>47</v>
      </c>
      <c r="D20"/>
      <c r="E20"/>
      <c r="F20"/>
      <c r="G20"/>
      <c r="H20"/>
      <c r="I20" s="71"/>
    </row>
    <row r="21" spans="3:14" x14ac:dyDescent="0.3">
      <c r="C21" s="70" t="s">
        <v>48</v>
      </c>
      <c r="D21"/>
      <c r="E21"/>
      <c r="F21"/>
      <c r="G21"/>
      <c r="H21"/>
      <c r="I21" s="71"/>
    </row>
    <row r="22" spans="3:14" ht="16.2" thickBot="1" x14ac:dyDescent="0.35">
      <c r="C22" s="74" t="s">
        <v>49</v>
      </c>
      <c r="D22" s="75"/>
      <c r="E22" s="75"/>
      <c r="F22" s="75"/>
      <c r="G22" s="75"/>
      <c r="H22" s="75"/>
      <c r="I22" s="76"/>
    </row>
    <row r="24" spans="3:14" ht="16.2" thickBot="1" x14ac:dyDescent="0.35"/>
    <row r="25" spans="3:14" x14ac:dyDescent="0.3">
      <c r="C25" s="69"/>
      <c r="D25" s="77"/>
      <c r="E25" s="77"/>
      <c r="F25" s="77"/>
      <c r="G25" s="77"/>
      <c r="H25" s="77"/>
      <c r="I25" s="77"/>
      <c r="J25" s="78"/>
      <c r="K25"/>
      <c r="L25" s="1" t="e">
        <f>+#REF!</f>
        <v>#REF!</v>
      </c>
      <c r="M25" s="3" t="s">
        <v>31</v>
      </c>
      <c r="N25"/>
    </row>
    <row r="26" spans="3:14" x14ac:dyDescent="0.3">
      <c r="C26" s="150" t="s">
        <v>42</v>
      </c>
      <c r="D26" s="151"/>
      <c r="E26" s="152" t="e">
        <f>+L31</f>
        <v>#REF!</v>
      </c>
      <c r="F26" s="153"/>
      <c r="G26" s="72" t="s">
        <v>4</v>
      </c>
      <c r="H26" s="3">
        <v>100</v>
      </c>
      <c r="I26" s="79" t="s">
        <v>50</v>
      </c>
      <c r="J26" s="80" t="e">
        <f>+E26/L29</f>
        <v>#REF!</v>
      </c>
      <c r="K26"/>
      <c r="L26" s="81">
        <f>+J9</f>
        <v>5280</v>
      </c>
      <c r="M26" s="3" t="s">
        <v>32</v>
      </c>
      <c r="N26"/>
    </row>
    <row r="27" spans="3:14" x14ac:dyDescent="0.3">
      <c r="C27" s="73"/>
      <c r="D27" s="3"/>
      <c r="E27" s="154" t="e">
        <f>+L29</f>
        <v>#REF!</v>
      </c>
      <c r="F27" s="155"/>
      <c r="G27" s="3"/>
      <c r="H27" s="3"/>
      <c r="I27"/>
      <c r="J27" s="71"/>
      <c r="K27"/>
      <c r="L27" s="1" t="e">
        <f>+#REF!</f>
        <v>#REF!</v>
      </c>
      <c r="M27" s="3" t="s">
        <v>51</v>
      </c>
      <c r="N27"/>
    </row>
    <row r="28" spans="3:14" ht="16.2" thickBot="1" x14ac:dyDescent="0.35">
      <c r="C28" s="74"/>
      <c r="D28" s="75"/>
      <c r="E28" s="75"/>
      <c r="F28" s="75"/>
      <c r="G28" s="75"/>
      <c r="H28" s="75"/>
      <c r="I28" s="75"/>
      <c r="J28" s="76"/>
      <c r="K28"/>
      <c r="L28" s="1">
        <v>0</v>
      </c>
      <c r="M28" s="3" t="s">
        <v>52</v>
      </c>
      <c r="N28"/>
    </row>
    <row r="29" spans="3:14" ht="16.2" thickBot="1" x14ac:dyDescent="0.35">
      <c r="C29"/>
      <c r="D29"/>
      <c r="E29"/>
      <c r="F29"/>
      <c r="G29"/>
      <c r="H29"/>
      <c r="I29"/>
      <c r="J29"/>
      <c r="K29"/>
      <c r="L29" s="7" t="e">
        <f>SUM(L25:L28)</f>
        <v>#REF!</v>
      </c>
      <c r="M29"/>
      <c r="N29"/>
    </row>
    <row r="30" spans="3:14" ht="16.2" thickTop="1" x14ac:dyDescent="0.3">
      <c r="C30"/>
      <c r="D30"/>
      <c r="E30"/>
      <c r="F30"/>
      <c r="G30"/>
      <c r="H30"/>
      <c r="I30"/>
      <c r="J30"/>
      <c r="K30"/>
      <c r="L30"/>
      <c r="M30"/>
      <c r="N30"/>
    </row>
    <row r="31" spans="3:14" x14ac:dyDescent="0.3">
      <c r="C31" s="156" t="s">
        <v>53</v>
      </c>
      <c r="D31" s="156"/>
      <c r="E31" s="156"/>
      <c r="F31" s="156"/>
      <c r="G31" s="156"/>
      <c r="H31" s="82" t="s">
        <v>54</v>
      </c>
      <c r="I31"/>
      <c r="J31"/>
      <c r="K31"/>
      <c r="L31" s="83" t="e">
        <f>+#REF!</f>
        <v>#REF!</v>
      </c>
      <c r="M31" s="3" t="s">
        <v>43</v>
      </c>
      <c r="N31"/>
    </row>
    <row r="32" spans="3:14" x14ac:dyDescent="0.3">
      <c r="C32" s="144" t="s">
        <v>55</v>
      </c>
      <c r="D32" s="144"/>
      <c r="E32" s="144"/>
      <c r="F32" s="144"/>
      <c r="G32" s="144"/>
      <c r="H32" s="84">
        <f>+K9</f>
        <v>792</v>
      </c>
      <c r="I32"/>
      <c r="J32"/>
      <c r="K32"/>
      <c r="L32"/>
      <c r="M32"/>
      <c r="N32"/>
    </row>
    <row r="33" spans="3:14" x14ac:dyDescent="0.3">
      <c r="C33" s="144" t="s">
        <v>56</v>
      </c>
      <c r="D33" s="144"/>
      <c r="E33" s="144"/>
      <c r="F33" s="144"/>
      <c r="G33" s="144"/>
      <c r="H33" s="85"/>
      <c r="I33"/>
      <c r="J33"/>
      <c r="K33"/>
      <c r="L33"/>
      <c r="M33"/>
      <c r="N33"/>
    </row>
    <row r="34" spans="3:14" x14ac:dyDescent="0.3">
      <c r="C34" s="145" t="s">
        <v>57</v>
      </c>
      <c r="D34" s="146"/>
      <c r="E34" s="146"/>
      <c r="F34" s="146"/>
      <c r="G34" s="147"/>
      <c r="H34" s="86" t="e">
        <f>+L26*J26</f>
        <v>#REF!</v>
      </c>
      <c r="I34"/>
      <c r="J34" s="1"/>
      <c r="K34"/>
      <c r="L34"/>
      <c r="M34"/>
      <c r="N34"/>
    </row>
    <row r="35" spans="3:14" x14ac:dyDescent="0.3">
      <c r="C35" s="148" t="s">
        <v>58</v>
      </c>
      <c r="D35" s="148"/>
      <c r="E35" s="148"/>
      <c r="F35" s="148"/>
      <c r="G35" s="148"/>
      <c r="H35" s="87">
        <f>+H32</f>
        <v>792</v>
      </c>
      <c r="I35"/>
      <c r="J35"/>
      <c r="K35"/>
      <c r="L35"/>
      <c r="M35"/>
      <c r="N35"/>
    </row>
  </sheetData>
  <mergeCells count="15">
    <mergeCell ref="B7:F7"/>
    <mergeCell ref="B8:F8"/>
    <mergeCell ref="B9:G9"/>
    <mergeCell ref="D12:I12"/>
    <mergeCell ref="C14:D14"/>
    <mergeCell ref="E14:F14"/>
    <mergeCell ref="C33:G33"/>
    <mergeCell ref="C34:G34"/>
    <mergeCell ref="C35:G35"/>
    <mergeCell ref="E15:F15"/>
    <mergeCell ref="C26:D26"/>
    <mergeCell ref="E26:F26"/>
    <mergeCell ref="E27:F27"/>
    <mergeCell ref="C31:G31"/>
    <mergeCell ref="C32:G32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9"/>
  <sheetViews>
    <sheetView topLeftCell="A10" workbookViewId="0">
      <selection activeCell="G16" sqref="G16:J18"/>
    </sheetView>
  </sheetViews>
  <sheetFormatPr baseColWidth="10" defaultRowHeight="14.4" x14ac:dyDescent="0.3"/>
  <cols>
    <col min="3" max="3" width="13" customWidth="1"/>
    <col min="4" max="4" width="11.44140625" customWidth="1"/>
    <col min="5" max="5" width="8.44140625" customWidth="1"/>
    <col min="6" max="6" width="13" customWidth="1"/>
    <col min="7" max="7" width="14.109375" customWidth="1"/>
    <col min="8" max="8" width="6.44140625" customWidth="1"/>
    <col min="9" max="9" width="7.44140625" customWidth="1"/>
  </cols>
  <sheetData>
    <row r="1" spans="2:11" ht="17.399999999999999" x14ac:dyDescent="0.35">
      <c r="E1" s="5" t="s">
        <v>0</v>
      </c>
    </row>
    <row r="2" spans="2:11" x14ac:dyDescent="0.3">
      <c r="B2" s="6"/>
      <c r="C2" s="6"/>
      <c r="D2" s="6"/>
      <c r="E2" s="6"/>
      <c r="F2" s="6"/>
      <c r="G2" s="6"/>
      <c r="H2" s="6"/>
    </row>
    <row r="3" spans="2:11" ht="15" thickBot="1" x14ac:dyDescent="0.35">
      <c r="B3" s="6"/>
      <c r="C3" s="6"/>
      <c r="D3" s="7" t="s">
        <v>1</v>
      </c>
      <c r="E3" s="7"/>
      <c r="F3" s="8"/>
      <c r="G3" s="7"/>
      <c r="H3" s="7"/>
      <c r="I3" s="9"/>
      <c r="J3" s="10" t="s">
        <v>2</v>
      </c>
      <c r="K3" s="6"/>
    </row>
    <row r="4" spans="2:11" ht="15" thickTop="1" x14ac:dyDescent="0.3">
      <c r="B4" s="6"/>
      <c r="C4" s="6"/>
      <c r="D4" s="11" t="s">
        <v>3</v>
      </c>
      <c r="E4" s="12"/>
      <c r="F4" s="13"/>
      <c r="G4" s="14">
        <f>9200+93</f>
        <v>9293</v>
      </c>
      <c r="H4" s="15" t="s">
        <v>4</v>
      </c>
      <c r="I4" s="16">
        <v>1</v>
      </c>
      <c r="J4" s="14">
        <f t="shared" ref="J4:J10" si="0">+G4*I4</f>
        <v>9293</v>
      </c>
      <c r="K4" s="6"/>
    </row>
    <row r="5" spans="2:11" x14ac:dyDescent="0.3">
      <c r="B5" s="6"/>
      <c r="C5" s="6"/>
      <c r="D5" s="17" t="s">
        <v>5</v>
      </c>
      <c r="E5" s="18"/>
      <c r="F5" s="19"/>
      <c r="G5" s="17">
        <f>+G4</f>
        <v>9293</v>
      </c>
      <c r="H5" s="20" t="s">
        <v>4</v>
      </c>
      <c r="I5" s="21">
        <v>11</v>
      </c>
      <c r="J5" s="17">
        <f t="shared" si="0"/>
        <v>102223</v>
      </c>
      <c r="K5" s="6"/>
    </row>
    <row r="6" spans="2:11" x14ac:dyDescent="0.3">
      <c r="B6" s="6"/>
      <c r="C6" s="6"/>
      <c r="D6" s="17" t="s">
        <v>6</v>
      </c>
      <c r="E6" s="17"/>
      <c r="F6" s="19"/>
      <c r="G6" s="17">
        <f>G4</f>
        <v>9293</v>
      </c>
      <c r="H6" s="20" t="s">
        <v>4</v>
      </c>
      <c r="I6" s="21">
        <v>2</v>
      </c>
      <c r="J6" s="17">
        <f t="shared" si="0"/>
        <v>18586</v>
      </c>
      <c r="K6" s="6"/>
    </row>
    <row r="7" spans="2:11" x14ac:dyDescent="0.3">
      <c r="B7" s="6"/>
      <c r="C7" s="6"/>
      <c r="D7" s="22" t="s">
        <v>7</v>
      </c>
      <c r="E7" s="22"/>
      <c r="F7" s="23"/>
      <c r="G7" s="24">
        <f>+G4</f>
        <v>9293</v>
      </c>
      <c r="H7" s="25" t="s">
        <v>4</v>
      </c>
      <c r="I7" s="25">
        <v>0</v>
      </c>
      <c r="J7" s="22">
        <f t="shared" si="0"/>
        <v>0</v>
      </c>
      <c r="K7" s="6"/>
    </row>
    <row r="8" spans="2:11" x14ac:dyDescent="0.3">
      <c r="B8" s="6"/>
      <c r="C8" s="6"/>
      <c r="D8" s="23" t="s">
        <v>8</v>
      </c>
      <c r="E8" s="22"/>
      <c r="F8" s="23"/>
      <c r="G8" s="24"/>
      <c r="H8" s="26" t="s">
        <v>4</v>
      </c>
      <c r="I8" s="23"/>
      <c r="J8" s="22">
        <f t="shared" si="0"/>
        <v>0</v>
      </c>
      <c r="K8" s="6"/>
    </row>
    <row r="9" spans="2:11" x14ac:dyDescent="0.3">
      <c r="B9" s="6"/>
      <c r="C9" s="6"/>
      <c r="D9" s="23" t="s">
        <v>9</v>
      </c>
      <c r="E9" s="22"/>
      <c r="F9" s="23"/>
      <c r="G9" s="22"/>
      <c r="H9" s="26"/>
      <c r="I9" s="25"/>
      <c r="J9" s="22">
        <f t="shared" si="0"/>
        <v>0</v>
      </c>
      <c r="K9" s="6"/>
    </row>
    <row r="10" spans="2:11" x14ac:dyDescent="0.3">
      <c r="B10" s="6"/>
      <c r="C10" s="6"/>
      <c r="D10" s="23" t="s">
        <v>10</v>
      </c>
      <c r="E10" s="22"/>
      <c r="F10" s="23"/>
      <c r="G10" s="24"/>
      <c r="H10" s="23"/>
      <c r="I10" s="25"/>
      <c r="J10" s="22">
        <f t="shared" si="0"/>
        <v>0</v>
      </c>
      <c r="K10" s="6"/>
    </row>
    <row r="11" spans="2:11" ht="15" thickBot="1" x14ac:dyDescent="0.35">
      <c r="B11" s="6"/>
      <c r="C11" s="6"/>
      <c r="D11" s="6"/>
      <c r="E11" s="6"/>
      <c r="G11" s="27" t="s">
        <v>11</v>
      </c>
      <c r="H11" s="27"/>
      <c r="I11" s="9"/>
      <c r="J11" s="27">
        <f>SUM(J4:J10)</f>
        <v>130102</v>
      </c>
      <c r="K11" s="6"/>
    </row>
    <row r="12" spans="2:11" ht="15" thickTop="1" x14ac:dyDescent="0.3">
      <c r="B12" s="6"/>
      <c r="C12" s="6"/>
      <c r="D12" s="6"/>
      <c r="E12" s="6"/>
      <c r="G12" s="28" t="s">
        <v>12</v>
      </c>
      <c r="H12" s="29">
        <v>7</v>
      </c>
      <c r="I12">
        <v>4400</v>
      </c>
      <c r="J12" s="28">
        <f>-H12*I12</f>
        <v>-30800</v>
      </c>
      <c r="K12" s="6"/>
    </row>
    <row r="13" spans="2:11" ht="15" thickBot="1" x14ac:dyDescent="0.35">
      <c r="B13" s="6"/>
      <c r="C13" s="6"/>
      <c r="D13" s="6"/>
      <c r="E13" s="6"/>
      <c r="G13" s="30" t="s">
        <v>13</v>
      </c>
      <c r="H13" s="30"/>
      <c r="I13" s="31"/>
      <c r="J13" s="30">
        <f>SUM(J11:J12)</f>
        <v>99302</v>
      </c>
      <c r="K13" s="6" t="s">
        <v>60</v>
      </c>
    </row>
    <row r="14" spans="2:11" ht="15.6" thickTop="1" thickBot="1" x14ac:dyDescent="0.35">
      <c r="B14" s="32"/>
      <c r="C14" s="32"/>
      <c r="D14" s="32"/>
      <c r="E14" s="32"/>
      <c r="G14" s="27"/>
      <c r="H14" s="27"/>
      <c r="I14" s="9"/>
      <c r="J14" s="27"/>
      <c r="K14" s="32"/>
    </row>
    <row r="15" spans="2:11" ht="15.6" thickTop="1" thickBot="1" x14ac:dyDescent="0.35">
      <c r="C15" s="166" t="s">
        <v>14</v>
      </c>
      <c r="D15" s="166"/>
      <c r="E15" s="167" t="s">
        <v>15</v>
      </c>
      <c r="F15" s="167"/>
      <c r="G15" s="33" t="s">
        <v>16</v>
      </c>
      <c r="H15" s="33" t="s">
        <v>17</v>
      </c>
      <c r="I15" s="34"/>
      <c r="J15" s="33" t="s">
        <v>18</v>
      </c>
      <c r="K15" s="6"/>
    </row>
    <row r="16" spans="2:11" ht="15" thickTop="1" x14ac:dyDescent="0.3">
      <c r="B16" s="3">
        <v>1</v>
      </c>
      <c r="C16" s="35"/>
      <c r="D16" s="36">
        <v>0</v>
      </c>
      <c r="E16" s="36" t="s">
        <v>19</v>
      </c>
      <c r="F16" s="36">
        <f>5*I12</f>
        <v>22000</v>
      </c>
      <c r="G16" s="6">
        <f>+F16</f>
        <v>22000</v>
      </c>
      <c r="H16" s="37">
        <v>0.08</v>
      </c>
      <c r="J16" s="6">
        <f>G16*H16</f>
        <v>1760</v>
      </c>
      <c r="K16" s="6"/>
    </row>
    <row r="17" spans="2:12" x14ac:dyDescent="0.3">
      <c r="B17" s="3">
        <v>2</v>
      </c>
      <c r="C17" s="90" t="str">
        <f t="shared" ref="C17:D20" si="1">+E16</f>
        <v>(5 UIT)</v>
      </c>
      <c r="D17" s="91">
        <f>+F16</f>
        <v>22000</v>
      </c>
      <c r="E17" s="91" t="s">
        <v>20</v>
      </c>
      <c r="F17" s="91">
        <f>20*I12</f>
        <v>88000</v>
      </c>
      <c r="G17" s="94">
        <f>+F17-D17</f>
        <v>66000</v>
      </c>
      <c r="H17" s="95">
        <v>0.14000000000000001</v>
      </c>
      <c r="I17" s="96"/>
      <c r="J17" s="97">
        <f>G17*H17</f>
        <v>9240</v>
      </c>
    </row>
    <row r="18" spans="2:12" x14ac:dyDescent="0.3">
      <c r="B18" s="3">
        <v>3</v>
      </c>
      <c r="C18" s="38" t="str">
        <f t="shared" si="1"/>
        <v>(20 UIT)</v>
      </c>
      <c r="D18" s="39">
        <f t="shared" si="1"/>
        <v>88000</v>
      </c>
      <c r="E18" s="36" t="s">
        <v>21</v>
      </c>
      <c r="F18" s="36">
        <f>35*I12</f>
        <v>154000</v>
      </c>
      <c r="G18" s="92">
        <f>+J13-G16-G17</f>
        <v>11302</v>
      </c>
      <c r="H18" s="37">
        <v>0.17</v>
      </c>
      <c r="J18" s="93">
        <f>G18*H18</f>
        <v>1921.3400000000001</v>
      </c>
    </row>
    <row r="19" spans="2:12" x14ac:dyDescent="0.3">
      <c r="B19" s="3">
        <v>4</v>
      </c>
      <c r="C19" s="38" t="str">
        <f t="shared" si="1"/>
        <v>(35 UIT)</v>
      </c>
      <c r="D19" s="39">
        <f t="shared" si="1"/>
        <v>154000</v>
      </c>
      <c r="E19" s="36" t="s">
        <v>22</v>
      </c>
      <c r="F19" s="36">
        <f>45*I12</f>
        <v>198000</v>
      </c>
      <c r="H19" s="37">
        <v>0.2</v>
      </c>
    </row>
    <row r="20" spans="2:12" x14ac:dyDescent="0.3">
      <c r="B20" s="3">
        <v>5</v>
      </c>
      <c r="C20" s="40" t="str">
        <f t="shared" si="1"/>
        <v>(45 UIT)</v>
      </c>
      <c r="D20" s="41">
        <f t="shared" si="1"/>
        <v>198000</v>
      </c>
      <c r="E20" s="42"/>
      <c r="F20" s="43" t="s">
        <v>23</v>
      </c>
      <c r="G20" s="44"/>
      <c r="H20" s="45">
        <v>0.3</v>
      </c>
      <c r="I20" s="46"/>
      <c r="J20" s="46"/>
    </row>
    <row r="21" spans="2:12" ht="15" thickBot="1" x14ac:dyDescent="0.35">
      <c r="B21" s="3"/>
      <c r="C21" s="47"/>
      <c r="D21" s="48"/>
      <c r="E21" s="49"/>
      <c r="F21" s="50"/>
      <c r="G21" s="51">
        <f>SUM(G16:G20)</f>
        <v>99302</v>
      </c>
      <c r="H21" s="52"/>
      <c r="I21" s="8"/>
      <c r="J21" s="53">
        <f>SUM(J16:J20)</f>
        <v>12921.34</v>
      </c>
    </row>
    <row r="22" spans="2:12" ht="15" thickTop="1" x14ac:dyDescent="0.3">
      <c r="B22" s="3"/>
      <c r="C22" s="47"/>
      <c r="D22" s="48"/>
      <c r="E22" s="49"/>
      <c r="F22" s="50"/>
      <c r="G22" s="4"/>
      <c r="H22" s="37"/>
    </row>
    <row r="23" spans="2:12" ht="15" thickBot="1" x14ac:dyDescent="0.35">
      <c r="G23" s="54" t="s">
        <v>24</v>
      </c>
      <c r="H23" s="54"/>
      <c r="I23" s="55"/>
      <c r="J23" s="54">
        <f>SUM(J16:J20)</f>
        <v>12921.34</v>
      </c>
      <c r="K23" s="6"/>
      <c r="L23" s="4"/>
    </row>
    <row r="24" spans="2:12" ht="15" thickTop="1" x14ac:dyDescent="0.3">
      <c r="F24" s="56" t="s">
        <v>25</v>
      </c>
      <c r="G24" s="57" t="s">
        <v>26</v>
      </c>
      <c r="H24" s="37"/>
      <c r="J24" s="28"/>
    </row>
    <row r="25" spans="2:12" ht="15" thickBot="1" x14ac:dyDescent="0.35">
      <c r="G25" s="30" t="s">
        <v>27</v>
      </c>
      <c r="H25" s="30"/>
      <c r="I25" s="31"/>
      <c r="J25" s="30">
        <f>SUM(J23:J24)</f>
        <v>12921.34</v>
      </c>
    </row>
    <row r="26" spans="2:12" ht="15" thickTop="1" x14ac:dyDescent="0.3">
      <c r="G26" t="s">
        <v>28</v>
      </c>
      <c r="J26" s="29">
        <v>12</v>
      </c>
    </row>
    <row r="27" spans="2:12" ht="15" thickBot="1" x14ac:dyDescent="0.35">
      <c r="G27" s="88" t="s">
        <v>29</v>
      </c>
      <c r="H27" s="88"/>
      <c r="I27" s="89"/>
      <c r="J27" s="88">
        <f>+J25/J26</f>
        <v>1076.7783333333334</v>
      </c>
    </row>
    <row r="28" spans="2:12" ht="15" thickTop="1" x14ac:dyDescent="0.3"/>
    <row r="29" spans="2:12" x14ac:dyDescent="0.3">
      <c r="E29" s="4"/>
    </row>
  </sheetData>
  <mergeCells count="2">
    <mergeCell ref="C15:D15"/>
    <mergeCell ref="E15:F1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9"/>
  <sheetViews>
    <sheetView topLeftCell="A7" workbookViewId="0">
      <selection activeCell="K14" sqref="K14"/>
    </sheetView>
  </sheetViews>
  <sheetFormatPr baseColWidth="10" defaultRowHeight="14.4" x14ac:dyDescent="0.3"/>
  <cols>
    <col min="3" max="3" width="13" customWidth="1"/>
    <col min="4" max="4" width="11.44140625" customWidth="1"/>
    <col min="5" max="5" width="8.44140625" customWidth="1"/>
    <col min="6" max="6" width="13" customWidth="1"/>
    <col min="7" max="7" width="14.109375" customWidth="1"/>
    <col min="8" max="8" width="6.44140625" customWidth="1"/>
    <col min="9" max="9" width="7.44140625" customWidth="1"/>
  </cols>
  <sheetData>
    <row r="1" spans="2:11" ht="17.399999999999999" x14ac:dyDescent="0.35">
      <c r="E1" s="5" t="s">
        <v>0</v>
      </c>
    </row>
    <row r="2" spans="2:11" x14ac:dyDescent="0.3">
      <c r="B2" s="6"/>
      <c r="C2" s="6"/>
      <c r="D2" s="6"/>
      <c r="E2" s="6"/>
      <c r="F2" s="6"/>
      <c r="G2" s="6"/>
      <c r="H2" s="6"/>
    </row>
    <row r="3" spans="2:11" ht="15" thickBot="1" x14ac:dyDescent="0.35">
      <c r="B3" s="6"/>
      <c r="C3" s="6"/>
      <c r="D3" s="7" t="s">
        <v>1</v>
      </c>
      <c r="E3" s="7"/>
      <c r="F3" s="8"/>
      <c r="G3" s="7"/>
      <c r="H3" s="7"/>
      <c r="I3" s="9"/>
      <c r="J3" s="10" t="s">
        <v>59</v>
      </c>
      <c r="K3" s="6"/>
    </row>
    <row r="4" spans="2:11" ht="15" thickTop="1" x14ac:dyDescent="0.3">
      <c r="B4" s="6"/>
      <c r="C4" s="6"/>
      <c r="D4" s="11" t="s">
        <v>3</v>
      </c>
      <c r="E4" s="12"/>
      <c r="F4" s="13"/>
      <c r="G4" s="14">
        <f>9200+93</f>
        <v>9293</v>
      </c>
      <c r="H4" s="15" t="s">
        <v>4</v>
      </c>
      <c r="I4" s="16">
        <v>1</v>
      </c>
      <c r="J4" s="14">
        <f t="shared" ref="J4:J10" si="0">+G4*I4</f>
        <v>9293</v>
      </c>
      <c r="K4" s="6"/>
    </row>
    <row r="5" spans="2:11" x14ac:dyDescent="0.3">
      <c r="B5" s="6"/>
      <c r="C5" s="6"/>
      <c r="D5" s="17" t="s">
        <v>5</v>
      </c>
      <c r="E5" s="18"/>
      <c r="F5" s="19"/>
      <c r="G5" s="17">
        <f>+G4</f>
        <v>9293</v>
      </c>
      <c r="H5" s="20" t="s">
        <v>4</v>
      </c>
      <c r="I5" s="21">
        <v>10</v>
      </c>
      <c r="J5" s="17">
        <f t="shared" si="0"/>
        <v>92930</v>
      </c>
      <c r="K5" s="6"/>
    </row>
    <row r="6" spans="2:11" x14ac:dyDescent="0.3">
      <c r="B6" s="6"/>
      <c r="C6" s="6"/>
      <c r="D6" s="17" t="s">
        <v>6</v>
      </c>
      <c r="E6" s="17"/>
      <c r="F6" s="19"/>
      <c r="G6" s="17">
        <f>G4</f>
        <v>9293</v>
      </c>
      <c r="H6" s="20" t="s">
        <v>4</v>
      </c>
      <c r="I6" s="21">
        <v>2</v>
      </c>
      <c r="J6" s="17">
        <f t="shared" si="0"/>
        <v>18586</v>
      </c>
      <c r="K6" s="6"/>
    </row>
    <row r="7" spans="2:11" x14ac:dyDescent="0.3">
      <c r="B7" s="6"/>
      <c r="C7" s="6"/>
      <c r="D7" s="22" t="s">
        <v>7</v>
      </c>
      <c r="E7" s="22"/>
      <c r="F7" s="23"/>
      <c r="G7" s="24">
        <f>+G4</f>
        <v>9293</v>
      </c>
      <c r="H7" s="25" t="s">
        <v>4</v>
      </c>
      <c r="I7" s="25">
        <v>1</v>
      </c>
      <c r="J7" s="22">
        <f t="shared" si="0"/>
        <v>9293</v>
      </c>
      <c r="K7" s="6"/>
    </row>
    <row r="8" spans="2:11" x14ac:dyDescent="0.3">
      <c r="B8" s="6"/>
      <c r="C8" s="6"/>
      <c r="D8" s="23" t="s">
        <v>8</v>
      </c>
      <c r="E8" s="22"/>
      <c r="F8" s="23"/>
      <c r="G8" s="24"/>
      <c r="H8" s="26" t="s">
        <v>4</v>
      </c>
      <c r="I8" s="23"/>
      <c r="J8" s="22">
        <f t="shared" si="0"/>
        <v>0</v>
      </c>
      <c r="K8" s="6"/>
    </row>
    <row r="9" spans="2:11" x14ac:dyDescent="0.3">
      <c r="B9" s="6"/>
      <c r="C9" s="6"/>
      <c r="D9" s="23" t="s">
        <v>9</v>
      </c>
      <c r="E9" s="22"/>
      <c r="F9" s="23"/>
      <c r="G9" s="22"/>
      <c r="H9" s="26"/>
      <c r="I9" s="25"/>
      <c r="J9" s="22">
        <f t="shared" si="0"/>
        <v>0</v>
      </c>
      <c r="K9" s="6"/>
    </row>
    <row r="10" spans="2:11" x14ac:dyDescent="0.3">
      <c r="B10" s="6"/>
      <c r="C10" s="6"/>
      <c r="D10" s="23" t="s">
        <v>10</v>
      </c>
      <c r="E10" s="22"/>
      <c r="F10" s="23"/>
      <c r="G10" s="24"/>
      <c r="H10" s="23"/>
      <c r="I10" s="25"/>
      <c r="J10" s="22">
        <f t="shared" si="0"/>
        <v>0</v>
      </c>
      <c r="K10" s="6"/>
    </row>
    <row r="11" spans="2:11" ht="15" thickBot="1" x14ac:dyDescent="0.35">
      <c r="B11" s="6"/>
      <c r="C11" s="6"/>
      <c r="D11" s="6"/>
      <c r="E11" s="6"/>
      <c r="G11" s="27" t="s">
        <v>11</v>
      </c>
      <c r="H11" s="27"/>
      <c r="I11" s="9"/>
      <c r="J11" s="27">
        <f>SUM(J4:J10)</f>
        <v>130102</v>
      </c>
      <c r="K11" s="6"/>
    </row>
    <row r="12" spans="2:11" ht="15" thickTop="1" x14ac:dyDescent="0.3">
      <c r="B12" s="6"/>
      <c r="C12" s="6"/>
      <c r="D12" s="6"/>
      <c r="E12" s="6"/>
      <c r="G12" s="28" t="s">
        <v>12</v>
      </c>
      <c r="H12" s="29">
        <v>7</v>
      </c>
      <c r="I12">
        <v>4400</v>
      </c>
      <c r="J12" s="28">
        <f>-H12*I12</f>
        <v>-30800</v>
      </c>
      <c r="K12" s="6"/>
    </row>
    <row r="13" spans="2:11" ht="15" thickBot="1" x14ac:dyDescent="0.35">
      <c r="B13" s="6"/>
      <c r="C13" s="6"/>
      <c r="D13" s="6"/>
      <c r="E13" s="6"/>
      <c r="G13" s="30" t="s">
        <v>13</v>
      </c>
      <c r="H13" s="30"/>
      <c r="I13" s="31"/>
      <c r="J13" s="30">
        <f>SUM(J11:J12)</f>
        <v>99302</v>
      </c>
      <c r="K13" s="6" t="s">
        <v>60</v>
      </c>
    </row>
    <row r="14" spans="2:11" ht="15.6" thickTop="1" thickBot="1" x14ac:dyDescent="0.35">
      <c r="B14" s="32"/>
      <c r="C14" s="32"/>
      <c r="D14" s="32"/>
      <c r="E14" s="32"/>
      <c r="G14" s="27"/>
      <c r="H14" s="27"/>
      <c r="I14" s="9"/>
      <c r="J14" s="27"/>
      <c r="K14" s="32"/>
    </row>
    <row r="15" spans="2:11" ht="15.6" thickTop="1" thickBot="1" x14ac:dyDescent="0.35">
      <c r="C15" s="166" t="s">
        <v>14</v>
      </c>
      <c r="D15" s="166"/>
      <c r="E15" s="167" t="s">
        <v>15</v>
      </c>
      <c r="F15" s="167"/>
      <c r="G15" s="33" t="s">
        <v>16</v>
      </c>
      <c r="H15" s="33" t="s">
        <v>17</v>
      </c>
      <c r="I15" s="34"/>
      <c r="J15" s="33" t="s">
        <v>18</v>
      </c>
      <c r="K15" s="6"/>
    </row>
    <row r="16" spans="2:11" ht="15" thickTop="1" x14ac:dyDescent="0.3">
      <c r="B16" s="3">
        <v>1</v>
      </c>
      <c r="C16" s="35"/>
      <c r="D16" s="36">
        <v>0</v>
      </c>
      <c r="E16" s="36" t="s">
        <v>19</v>
      </c>
      <c r="F16" s="36">
        <f>5*I12</f>
        <v>22000</v>
      </c>
      <c r="G16" s="6">
        <f>+F16</f>
        <v>22000</v>
      </c>
      <c r="H16" s="37">
        <v>0.08</v>
      </c>
      <c r="J16" s="6">
        <f>G16*H16</f>
        <v>1760</v>
      </c>
      <c r="K16" s="6"/>
    </row>
    <row r="17" spans="2:12" x14ac:dyDescent="0.3">
      <c r="B17" s="3">
        <v>2</v>
      </c>
      <c r="C17" s="38" t="str">
        <f t="shared" ref="C17:D20" si="1">+E16</f>
        <v>(5 UIT)</v>
      </c>
      <c r="D17" s="36">
        <f t="shared" si="1"/>
        <v>22000</v>
      </c>
      <c r="E17" s="36" t="s">
        <v>20</v>
      </c>
      <c r="F17" s="36">
        <f>20*I12</f>
        <v>88000</v>
      </c>
      <c r="G17" s="94">
        <f>+F17-D17</f>
        <v>66000</v>
      </c>
      <c r="H17" s="95">
        <v>0.14000000000000001</v>
      </c>
      <c r="I17" s="96"/>
      <c r="J17" s="97">
        <f>G17*H17</f>
        <v>9240</v>
      </c>
    </row>
    <row r="18" spans="2:12" x14ac:dyDescent="0.3">
      <c r="B18" s="3">
        <v>3</v>
      </c>
      <c r="C18" s="38" t="str">
        <f t="shared" si="1"/>
        <v>(20 UIT)</v>
      </c>
      <c r="D18" s="39">
        <f t="shared" si="1"/>
        <v>88000</v>
      </c>
      <c r="E18" s="36" t="s">
        <v>21</v>
      </c>
      <c r="F18" s="36">
        <f>35*I12</f>
        <v>154000</v>
      </c>
      <c r="G18" s="92">
        <f>+J13-G16-G17</f>
        <v>11302</v>
      </c>
      <c r="H18" s="37">
        <v>0.17</v>
      </c>
      <c r="J18" s="93">
        <f>G18*H18</f>
        <v>1921.3400000000001</v>
      </c>
    </row>
    <row r="19" spans="2:12" x14ac:dyDescent="0.3">
      <c r="B19" s="3">
        <v>4</v>
      </c>
      <c r="C19" s="38" t="str">
        <f t="shared" si="1"/>
        <v>(35 UIT)</v>
      </c>
      <c r="D19" s="39">
        <f t="shared" si="1"/>
        <v>154000</v>
      </c>
      <c r="E19" s="36" t="s">
        <v>22</v>
      </c>
      <c r="F19" s="36">
        <f>45*I12</f>
        <v>198000</v>
      </c>
      <c r="H19" s="37">
        <v>0.2</v>
      </c>
    </row>
    <row r="20" spans="2:12" x14ac:dyDescent="0.3">
      <c r="B20" s="3">
        <v>5</v>
      </c>
      <c r="C20" s="40" t="str">
        <f t="shared" si="1"/>
        <v>(45 UIT)</v>
      </c>
      <c r="D20" s="41">
        <f t="shared" si="1"/>
        <v>198000</v>
      </c>
      <c r="E20" s="42"/>
      <c r="F20" s="43" t="s">
        <v>23</v>
      </c>
      <c r="G20" s="44"/>
      <c r="H20" s="45">
        <v>0.3</v>
      </c>
      <c r="I20" s="46"/>
      <c r="J20" s="46"/>
    </row>
    <row r="21" spans="2:12" ht="15" thickBot="1" x14ac:dyDescent="0.35">
      <c r="B21" s="3"/>
      <c r="C21" s="47"/>
      <c r="D21" s="48"/>
      <c r="E21" s="49"/>
      <c r="F21" s="50"/>
      <c r="G21" s="51">
        <f>SUM(G16:G20)</f>
        <v>99302</v>
      </c>
      <c r="H21" s="52"/>
      <c r="I21" s="8"/>
      <c r="J21" s="53">
        <f>SUM(J16:J20)</f>
        <v>12921.34</v>
      </c>
    </row>
    <row r="22" spans="2:12" ht="15" thickTop="1" x14ac:dyDescent="0.3">
      <c r="B22" s="3"/>
      <c r="C22" s="47"/>
      <c r="D22" s="48"/>
      <c r="E22" s="49"/>
      <c r="F22" s="50"/>
      <c r="G22" s="4"/>
      <c r="H22" s="37"/>
    </row>
    <row r="23" spans="2:12" ht="15" thickBot="1" x14ac:dyDescent="0.35">
      <c r="G23" s="54" t="s">
        <v>24</v>
      </c>
      <c r="H23" s="54"/>
      <c r="I23" s="55"/>
      <c r="J23" s="54">
        <f>SUM(J16:J20)</f>
        <v>12921.34</v>
      </c>
      <c r="K23" s="6"/>
      <c r="L23" s="4"/>
    </row>
    <row r="24" spans="2:12" ht="15" thickTop="1" x14ac:dyDescent="0.3">
      <c r="F24" s="56" t="s">
        <v>25</v>
      </c>
      <c r="G24" s="57" t="s">
        <v>26</v>
      </c>
      <c r="H24" s="37"/>
      <c r="J24" s="28"/>
    </row>
    <row r="25" spans="2:12" ht="15" thickBot="1" x14ac:dyDescent="0.35">
      <c r="G25" s="30" t="s">
        <v>27</v>
      </c>
      <c r="H25" s="30"/>
      <c r="I25" s="31"/>
      <c r="J25" s="30">
        <f>SUM(J23:J24)</f>
        <v>12921.34</v>
      </c>
    </row>
    <row r="26" spans="2:12" ht="15" thickTop="1" x14ac:dyDescent="0.3">
      <c r="G26" t="s">
        <v>28</v>
      </c>
      <c r="J26" s="29">
        <v>12</v>
      </c>
    </row>
    <row r="27" spans="2:12" ht="15" thickBot="1" x14ac:dyDescent="0.35">
      <c r="G27" s="88" t="s">
        <v>29</v>
      </c>
      <c r="H27" s="88"/>
      <c r="I27" s="89"/>
      <c r="J27" s="88">
        <f>+J25/J26</f>
        <v>1076.7783333333334</v>
      </c>
    </row>
    <row r="28" spans="2:12" ht="15" thickTop="1" x14ac:dyDescent="0.3"/>
    <row r="29" spans="2:12" x14ac:dyDescent="0.3">
      <c r="E29" s="4"/>
    </row>
  </sheetData>
  <mergeCells count="2">
    <mergeCell ref="C15:D15"/>
    <mergeCell ref="E15:F1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8841-275C-48D6-AC70-08CEB3DE4A28}">
  <dimension ref="B2:E25"/>
  <sheetViews>
    <sheetView showGridLines="0" tabSelected="1" zoomScale="120" zoomScaleNormal="120" workbookViewId="0">
      <selection activeCell="B27" sqref="B27"/>
    </sheetView>
  </sheetViews>
  <sheetFormatPr baseColWidth="10" defaultColWidth="11.44140625" defaultRowHeight="13.2" customHeight="1" x14ac:dyDescent="0.3"/>
  <cols>
    <col min="1" max="1" width="11.44140625" style="62"/>
    <col min="2" max="2" width="32.44140625" style="62" customWidth="1"/>
    <col min="3" max="3" width="18.44140625" style="62" customWidth="1"/>
    <col min="4" max="4" width="12.44140625" style="62" bestFit="1" customWidth="1"/>
    <col min="5" max="16384" width="11.44140625" style="62"/>
  </cols>
  <sheetData>
    <row r="2" spans="2:5" ht="13.2" customHeight="1" x14ac:dyDescent="0.3">
      <c r="B2" s="107" t="s">
        <v>71</v>
      </c>
    </row>
    <row r="4" spans="2:5" ht="13.2" customHeight="1" x14ac:dyDescent="0.3">
      <c r="B4" s="136" t="s">
        <v>70</v>
      </c>
      <c r="C4" s="136"/>
      <c r="D4" s="136" t="s">
        <v>67</v>
      </c>
    </row>
    <row r="5" spans="2:5" ht="13.2" customHeight="1" x14ac:dyDescent="0.3">
      <c r="B5" s="130" t="s">
        <v>83</v>
      </c>
      <c r="C5" s="130"/>
      <c r="D5" s="131">
        <v>1500</v>
      </c>
    </row>
    <row r="6" spans="2:5" ht="13.2" customHeight="1" x14ac:dyDescent="0.3">
      <c r="B6" s="130" t="s">
        <v>81</v>
      </c>
      <c r="C6" s="130"/>
      <c r="D6" s="131">
        <v>8000</v>
      </c>
    </row>
    <row r="7" spans="2:5" ht="13.2" customHeight="1" x14ac:dyDescent="0.3">
      <c r="B7" s="130" t="s">
        <v>82</v>
      </c>
      <c r="C7" s="130"/>
      <c r="D7" s="131">
        <f>D6*50%</f>
        <v>4000</v>
      </c>
    </row>
    <row r="8" spans="2:5" ht="13.2" customHeight="1" x14ac:dyDescent="0.3">
      <c r="B8" s="130" t="s">
        <v>85</v>
      </c>
      <c r="C8" s="130"/>
      <c r="D8" s="131">
        <v>190000</v>
      </c>
    </row>
    <row r="9" spans="2:5" ht="13.2" customHeight="1" x14ac:dyDescent="0.3">
      <c r="B9" s="132" t="s">
        <v>87</v>
      </c>
      <c r="C9" s="133">
        <v>0.05</v>
      </c>
      <c r="D9" s="134">
        <f>D5*C9</f>
        <v>75</v>
      </c>
    </row>
    <row r="10" spans="2:5" ht="13.2" customHeight="1" x14ac:dyDescent="0.3">
      <c r="B10" s="130"/>
      <c r="C10" s="130"/>
      <c r="D10" s="131"/>
    </row>
    <row r="11" spans="2:5" ht="13.2" customHeight="1" x14ac:dyDescent="0.3">
      <c r="B11" s="143"/>
      <c r="C11" s="130"/>
      <c r="D11" s="131"/>
    </row>
    <row r="12" spans="2:5" s="142" customFormat="1" ht="13.2" customHeight="1" x14ac:dyDescent="0.3">
      <c r="B12" s="139" t="s">
        <v>69</v>
      </c>
      <c r="C12" s="140"/>
      <c r="D12" s="141"/>
    </row>
    <row r="13" spans="2:5" s="142" customFormat="1" ht="13.2" customHeight="1" x14ac:dyDescent="0.3">
      <c r="B13" s="140" t="s">
        <v>84</v>
      </c>
      <c r="C13" s="140"/>
      <c r="D13" s="141">
        <f>D5*8</f>
        <v>12000</v>
      </c>
    </row>
    <row r="14" spans="2:5" s="142" customFormat="1" ht="13.2" customHeight="1" x14ac:dyDescent="0.3">
      <c r="B14" s="140" t="s">
        <v>86</v>
      </c>
      <c r="C14" s="140"/>
      <c r="D14" s="141">
        <f>(6%*D8/12*8)</f>
        <v>7600</v>
      </c>
      <c r="E14" s="142" t="s">
        <v>95</v>
      </c>
    </row>
    <row r="15" spans="2:5" ht="13.2" customHeight="1" x14ac:dyDescent="0.3">
      <c r="B15" s="135"/>
      <c r="C15" s="135"/>
      <c r="D15" s="135"/>
    </row>
    <row r="16" spans="2:5" ht="13.2" customHeight="1" thickBot="1" x14ac:dyDescent="0.35">
      <c r="B16" s="101" t="s">
        <v>68</v>
      </c>
      <c r="C16" s="101"/>
      <c r="D16" s="101" t="s">
        <v>67</v>
      </c>
    </row>
    <row r="17" spans="2:5" ht="13.2" customHeight="1" thickTop="1" x14ac:dyDescent="0.3">
      <c r="B17" s="62" t="s">
        <v>66</v>
      </c>
      <c r="D17" s="99">
        <f>D13</f>
        <v>12000</v>
      </c>
    </row>
    <row r="18" spans="2:5" ht="13.2" customHeight="1" x14ac:dyDescent="0.3">
      <c r="B18" s="62" t="s">
        <v>65</v>
      </c>
      <c r="D18" s="99">
        <f>D6-D7</f>
        <v>4000</v>
      </c>
      <c r="E18" s="103"/>
    </row>
    <row r="19" spans="2:5" ht="13.2" customHeight="1" x14ac:dyDescent="0.3">
      <c r="B19" s="105" t="s">
        <v>64</v>
      </c>
      <c r="C19" s="105"/>
      <c r="D19" s="104">
        <f>D17+D18</f>
        <v>16000</v>
      </c>
      <c r="E19" s="103"/>
    </row>
    <row r="20" spans="2:5" ht="13.2" customHeight="1" x14ac:dyDescent="0.3">
      <c r="B20" s="62" t="s">
        <v>63</v>
      </c>
      <c r="C20" s="106">
        <v>0.2</v>
      </c>
      <c r="D20" s="99">
        <f>-(D19*C20)</f>
        <v>-3200</v>
      </c>
      <c r="E20" t="s">
        <v>97</v>
      </c>
    </row>
    <row r="21" spans="2:5" ht="13.2" customHeight="1" x14ac:dyDescent="0.3">
      <c r="B21" s="105" t="s">
        <v>30</v>
      </c>
      <c r="C21" s="105"/>
      <c r="D21" s="104">
        <f>D19+D20</f>
        <v>12800</v>
      </c>
      <c r="E21" s="103"/>
    </row>
    <row r="22" spans="2:5" ht="13.2" customHeight="1" x14ac:dyDescent="0.3">
      <c r="B22" s="62" t="s">
        <v>62</v>
      </c>
      <c r="C22" s="102">
        <v>6.25E-2</v>
      </c>
      <c r="D22" s="99">
        <f>D21*C22</f>
        <v>800</v>
      </c>
      <c r="E22" t="s">
        <v>98</v>
      </c>
    </row>
    <row r="23" spans="2:5" ht="13.2" customHeight="1" x14ac:dyDescent="0.3">
      <c r="B23" s="62" t="s">
        <v>61</v>
      </c>
      <c r="C23" s="137">
        <f>D9*8</f>
        <v>600</v>
      </c>
      <c r="D23" s="99">
        <f>-C23</f>
        <v>-600</v>
      </c>
    </row>
    <row r="24" spans="2:5" ht="13.2" customHeight="1" thickBot="1" x14ac:dyDescent="0.35">
      <c r="B24" s="101"/>
      <c r="C24" s="101"/>
      <c r="D24" s="100">
        <f>SUM(D22:D23)</f>
        <v>200</v>
      </c>
    </row>
    <row r="25" spans="2:5" ht="13.2" customHeight="1" thickTop="1" x14ac:dyDescent="0.3">
      <c r="D25" s="99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00FF-AB5E-4C19-919B-6AD768EE347E}">
  <dimension ref="B2:L29"/>
  <sheetViews>
    <sheetView showGridLines="0" zoomScale="110" zoomScaleNormal="110" workbookViewId="0">
      <selection activeCell="G16" sqref="G16"/>
    </sheetView>
  </sheetViews>
  <sheetFormatPr baseColWidth="10" defaultRowHeight="14.4" x14ac:dyDescent="0.3"/>
  <cols>
    <col min="2" max="2" width="21" customWidth="1"/>
    <col min="3" max="3" width="13.6640625" customWidth="1"/>
    <col min="4" max="4" width="10.88671875" bestFit="1" customWidth="1"/>
    <col min="5" max="5" width="14.33203125" customWidth="1"/>
    <col min="6" max="6" width="16.88671875" customWidth="1"/>
    <col min="7" max="7" width="13.88671875" customWidth="1"/>
    <col min="8" max="8" width="16.88671875" customWidth="1"/>
    <col min="9" max="9" width="13.88671875" customWidth="1"/>
    <col min="10" max="10" width="15.109375" customWidth="1"/>
    <col min="11" max="11" width="25.33203125" customWidth="1"/>
  </cols>
  <sheetData>
    <row r="2" spans="2:12" ht="15.6" x14ac:dyDescent="0.3">
      <c r="B2" s="107" t="s">
        <v>72</v>
      </c>
    </row>
    <row r="3" spans="2:12" x14ac:dyDescent="0.3">
      <c r="G3" s="6"/>
      <c r="H3" s="6"/>
      <c r="I3" s="6"/>
    </row>
    <row r="4" spans="2:12" ht="15" thickBot="1" x14ac:dyDescent="0.35">
      <c r="B4" s="31" t="s">
        <v>70</v>
      </c>
      <c r="C4" s="123"/>
      <c r="D4" s="123"/>
      <c r="E4" s="122" t="s">
        <v>79</v>
      </c>
      <c r="F4" s="129" t="s">
        <v>80</v>
      </c>
      <c r="G4" s="122" t="s">
        <v>78</v>
      </c>
      <c r="H4" s="121" t="s">
        <v>77</v>
      </c>
      <c r="I4" s="120" t="s">
        <v>75</v>
      </c>
    </row>
    <row r="5" spans="2:12" ht="15" thickTop="1" x14ac:dyDescent="0.3">
      <c r="B5" s="96" t="s">
        <v>88</v>
      </c>
      <c r="C5" s="96"/>
      <c r="D5" s="96"/>
      <c r="E5" s="138">
        <v>240000</v>
      </c>
      <c r="F5" s="97">
        <v>150000</v>
      </c>
      <c r="G5" s="96">
        <v>1.03</v>
      </c>
      <c r="H5" s="127">
        <f>F5*G5</f>
        <v>154500</v>
      </c>
      <c r="I5" s="119"/>
      <c r="L5" s="58"/>
    </row>
    <row r="6" spans="2:12" x14ac:dyDescent="0.3">
      <c r="B6" s="96" t="s">
        <v>89</v>
      </c>
      <c r="E6" s="138">
        <v>270000</v>
      </c>
      <c r="F6" s="1">
        <v>200000</v>
      </c>
      <c r="G6">
        <v>1.04</v>
      </c>
      <c r="H6" s="127">
        <f>F6*G6</f>
        <v>208000</v>
      </c>
      <c r="I6" s="119"/>
    </row>
    <row r="7" spans="2:12" x14ac:dyDescent="0.3">
      <c r="B7" s="96" t="s">
        <v>90</v>
      </c>
      <c r="E7" s="138">
        <v>290000</v>
      </c>
      <c r="F7" s="1">
        <v>230000</v>
      </c>
      <c r="G7">
        <v>1.06</v>
      </c>
      <c r="H7" s="127">
        <f t="shared" ref="H7" si="0">F7*G7</f>
        <v>243800</v>
      </c>
      <c r="I7" s="119"/>
    </row>
    <row r="8" spans="2:12" ht="15" thickBot="1" x14ac:dyDescent="0.35">
      <c r="E8" s="7">
        <f>SUM(E5:E7)</f>
        <v>800000</v>
      </c>
      <c r="F8" s="7">
        <f>SUM(F5:F7)</f>
        <v>580000</v>
      </c>
      <c r="G8" s="8"/>
      <c r="H8" s="128">
        <f>SUM(H5:H7)</f>
        <v>606300</v>
      </c>
      <c r="I8" s="126">
        <f>SUM(I5:I7)</f>
        <v>0</v>
      </c>
    </row>
    <row r="9" spans="2:12" ht="15" thickTop="1" x14ac:dyDescent="0.3">
      <c r="E9" s="6"/>
    </row>
    <row r="10" spans="2:12" ht="15" thickBot="1" x14ac:dyDescent="0.35">
      <c r="B10" s="118" t="s">
        <v>76</v>
      </c>
      <c r="C10" s="117"/>
      <c r="D10" s="117"/>
      <c r="E10" s="116" t="s">
        <v>75</v>
      </c>
    </row>
    <row r="11" spans="2:12" ht="15" thickTop="1" x14ac:dyDescent="0.3">
      <c r="B11" s="96" t="s">
        <v>91</v>
      </c>
      <c r="E11" s="98">
        <f>D13+D14+D12</f>
        <v>800000</v>
      </c>
    </row>
    <row r="12" spans="2:12" x14ac:dyDescent="0.3">
      <c r="B12" s="96"/>
      <c r="C12" t="s">
        <v>96</v>
      </c>
      <c r="D12" s="138">
        <f>E5</f>
        <v>240000</v>
      </c>
      <c r="E12" s="115">
        <f>+I5</f>
        <v>0</v>
      </c>
    </row>
    <row r="13" spans="2:12" x14ac:dyDescent="0.3">
      <c r="B13" s="96"/>
      <c r="C13" t="s">
        <v>92</v>
      </c>
      <c r="D13" s="138">
        <v>270000</v>
      </c>
      <c r="E13" s="98">
        <f>+I6</f>
        <v>0</v>
      </c>
    </row>
    <row r="14" spans="2:12" x14ac:dyDescent="0.3">
      <c r="B14" s="96"/>
      <c r="C14" t="s">
        <v>93</v>
      </c>
      <c r="D14" s="138">
        <v>290000</v>
      </c>
      <c r="E14" s="115">
        <f>+I7</f>
        <v>0</v>
      </c>
    </row>
    <row r="15" spans="2:12" x14ac:dyDescent="0.3">
      <c r="B15" s="96" t="s">
        <v>94</v>
      </c>
      <c r="D15" s="138"/>
      <c r="E15" s="115">
        <f>D17+D18+D16</f>
        <v>-297300</v>
      </c>
    </row>
    <row r="16" spans="2:12" x14ac:dyDescent="0.3">
      <c r="B16" s="96"/>
      <c r="C16" t="str">
        <f>C12</f>
        <v xml:space="preserve">departamento </v>
      </c>
      <c r="D16" s="138">
        <f>H5</f>
        <v>154500</v>
      </c>
      <c r="E16" s="115"/>
    </row>
    <row r="17" spans="2:6" x14ac:dyDescent="0.3">
      <c r="B17" s="96"/>
      <c r="C17" t="s">
        <v>92</v>
      </c>
      <c r="D17" s="138">
        <f>-H6</f>
        <v>-208000</v>
      </c>
      <c r="E17" s="115"/>
    </row>
    <row r="18" spans="2:6" x14ac:dyDescent="0.3">
      <c r="B18" s="96"/>
      <c r="C18" t="s">
        <v>93</v>
      </c>
      <c r="D18" s="138">
        <f>-H7</f>
        <v>-243800</v>
      </c>
      <c r="E18" s="115"/>
    </row>
    <row r="19" spans="2:6" x14ac:dyDescent="0.3">
      <c r="B19" s="114" t="s">
        <v>74</v>
      </c>
      <c r="C19" s="114"/>
      <c r="D19" s="114"/>
      <c r="E19" s="59">
        <f>F19+E15</f>
        <v>502700</v>
      </c>
      <c r="F19" s="2">
        <f>SUM(E11:E14)</f>
        <v>800000</v>
      </c>
    </row>
    <row r="20" spans="2:6" x14ac:dyDescent="0.3">
      <c r="B20" t="s">
        <v>63</v>
      </c>
      <c r="C20" s="113"/>
      <c r="D20" s="113">
        <v>0.2</v>
      </c>
      <c r="E20" s="112">
        <f>E19*D20</f>
        <v>100540</v>
      </c>
    </row>
    <row r="21" spans="2:6" x14ac:dyDescent="0.3">
      <c r="B21" s="111" t="s">
        <v>30</v>
      </c>
      <c r="C21" s="111"/>
      <c r="D21" s="111"/>
      <c r="E21" s="110">
        <f>E19-E20</f>
        <v>402160</v>
      </c>
    </row>
    <row r="22" spans="2:6" ht="15" thickBot="1" x14ac:dyDescent="0.35">
      <c r="B22" s="9" t="s">
        <v>73</v>
      </c>
      <c r="C22" s="109"/>
      <c r="D22" s="109">
        <v>6.25E-2</v>
      </c>
      <c r="E22" s="108">
        <f>E21*D22</f>
        <v>25135</v>
      </c>
    </row>
    <row r="23" spans="2:6" ht="15" thickTop="1" x14ac:dyDescent="0.3"/>
    <row r="24" spans="2:6" x14ac:dyDescent="0.3">
      <c r="B24" s="3"/>
    </row>
    <row r="29" spans="2:6" x14ac:dyDescent="0.3">
      <c r="B29" s="124"/>
      <c r="C29" s="125"/>
      <c r="D29" s="125"/>
      <c r="E29" s="125"/>
    </row>
  </sheetData>
  <phoneticPr fontId="15" type="noConversion"/>
  <pageMargins left="0.7" right="0.7" top="0.75" bottom="0.75" header="0.3" footer="0.3"/>
  <pageSetup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</vt:lpstr>
      <vt:lpstr>Enero</vt:lpstr>
      <vt:lpstr>Febrero</vt:lpstr>
      <vt:lpstr>Pregunta 1</vt:lpstr>
      <vt:lpstr>Pregunta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JHONNY ESQUIVEL AGUILAR</cp:lastModifiedBy>
  <dcterms:created xsi:type="dcterms:W3CDTF">2018-07-21T00:16:01Z</dcterms:created>
  <dcterms:modified xsi:type="dcterms:W3CDTF">2026-05-08T03:13:14Z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036f7e-4fe9-4c36-82a4-1443680ec274_Enabled">
    <vt:lpwstr>true</vt:lpwstr>
  </property>
  <property fmtid="{D5CDD505-2E9C-101B-9397-08002B2CF9AE}" pid="3" name="MSIP_Label_d8036f7e-4fe9-4c36-82a4-1443680ec274_SetDate">
    <vt:lpwstr>2026-05-08T03:05:19Z</vt:lpwstr>
  </property>
  <property fmtid="{D5CDD505-2E9C-101B-9397-08002B2CF9AE}" pid="4" name="MSIP_Label_d8036f7e-4fe9-4c36-82a4-1443680ec274_Method">
    <vt:lpwstr>Standard</vt:lpwstr>
  </property>
  <property fmtid="{D5CDD505-2E9C-101B-9397-08002B2CF9AE}" pid="5" name="MSIP_Label_d8036f7e-4fe9-4c36-82a4-1443680ec274_Name">
    <vt:lpwstr>defa4170-0d19-0005-0004-bc88714345d2</vt:lpwstr>
  </property>
  <property fmtid="{D5CDD505-2E9C-101B-9397-08002B2CF9AE}" pid="6" name="MSIP_Label_d8036f7e-4fe9-4c36-82a4-1443680ec274_SiteId">
    <vt:lpwstr>14327214-edbc-4481-90b6-267bbb85dbba</vt:lpwstr>
  </property>
  <property fmtid="{D5CDD505-2E9C-101B-9397-08002B2CF9AE}" pid="7" name="MSIP_Label_d8036f7e-4fe9-4c36-82a4-1443680ec274_ActionId">
    <vt:lpwstr>ed797829-ffb8-4416-8b49-eee0c7842f7b</vt:lpwstr>
  </property>
  <property fmtid="{D5CDD505-2E9C-101B-9397-08002B2CF9AE}" pid="8" name="MSIP_Label_d8036f7e-4fe9-4c36-82a4-1443680ec274_ContentBits">
    <vt:lpwstr>0</vt:lpwstr>
  </property>
  <property fmtid="{D5CDD505-2E9C-101B-9397-08002B2CF9AE}" pid="9" name="MSIP_Label_d8036f7e-4fe9-4c36-82a4-1443680ec274_Tag">
    <vt:lpwstr>10, 3, 0, 1</vt:lpwstr>
  </property>
</Properties>
</file>